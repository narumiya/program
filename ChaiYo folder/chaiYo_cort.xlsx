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陽生\Documents\program\ChaiYo folder\"/>
    </mc:Choice>
  </mc:AlternateContent>
  <bookViews>
    <workbookView xWindow="0" yWindow="0" windowWidth="20490" windowHeight="9660" activeTab="1"/>
  </bookViews>
  <sheets>
    <sheet name="Sheet2" sheetId="2" r:id="rId1"/>
    <sheet name="Sheet1" sheetId="1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1" l="1"/>
  <c r="B13" i="1"/>
  <c r="C18" i="1"/>
  <c r="B14" i="1"/>
  <c r="B12" i="1"/>
  <c r="B11" i="1"/>
  <c r="B10" i="1"/>
  <c r="B9" i="1"/>
  <c r="B8" i="1"/>
  <c r="B7" i="1"/>
  <c r="B6" i="1"/>
  <c r="B16" i="1" l="1"/>
  <c r="B17" i="1" s="1"/>
  <c r="B18" i="1" s="1"/>
  <c r="B19" i="1" s="1"/>
  <c r="B20" i="1" s="1"/>
  <c r="B21" i="1" s="1"/>
  <c r="B22" i="1" s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7458226430557043E-2"/>
          <c:y val="0.18611107611548558"/>
          <c:w val="0.85219685039370074"/>
          <c:h val="0.715748760571595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Sheet1!$B:$B</c:f>
              <c:numCache>
                <c:formatCode>General</c:formatCode>
                <c:ptCount val="1048576"/>
                <c:pt idx="3">
                  <c:v>0</c:v>
                </c:pt>
                <c:pt idx="4">
                  <c:v>1295</c:v>
                </c:pt>
                <c:pt idx="5">
                  <c:v>2340.869795323355</c:v>
                </c:pt>
                <c:pt idx="6">
                  <c:v>3427.869795323355</c:v>
                </c:pt>
                <c:pt idx="7">
                  <c:v>4192.3484697977165</c:v>
                </c:pt>
                <c:pt idx="8">
                  <c:v>5279.3484697977165</c:v>
                </c:pt>
                <c:pt idx="9">
                  <c:v>6324.2343800831377</c:v>
                </c:pt>
                <c:pt idx="10">
                  <c:v>6701.2343800831377</c:v>
                </c:pt>
                <c:pt idx="11">
                  <c:v>7178.2343800831377</c:v>
                </c:pt>
                <c:pt idx="12">
                  <c:v>6825.2343800831377</c:v>
                </c:pt>
                <c:pt idx="13">
                  <c:v>7178.2343800831377</c:v>
                </c:pt>
                <c:pt idx="14">
                  <c:v>6825.2343800831377</c:v>
                </c:pt>
                <c:pt idx="15">
                  <c:v>7390.2343800831377</c:v>
                </c:pt>
                <c:pt idx="16">
                  <c:v>8026.2343800831377</c:v>
                </c:pt>
                <c:pt idx="17">
                  <c:v>8914.2191772502956</c:v>
                </c:pt>
                <c:pt idx="18">
                  <c:v>10450.76237547155</c:v>
                </c:pt>
                <c:pt idx="19">
                  <c:v>11367.031440757506</c:v>
                </c:pt>
                <c:pt idx="20">
                  <c:v>12236.772781616959</c:v>
                </c:pt>
                <c:pt idx="21">
                  <c:v>13391.772781616959</c:v>
                </c:pt>
              </c:numCache>
            </c:numRef>
          </c:xVal>
          <c:yVal>
            <c:numRef>
              <c:f>Sheet1!$C:$C</c:f>
              <c:numCache>
                <c:formatCode>General</c:formatCode>
                <c:ptCount val="1048576"/>
                <c:pt idx="3">
                  <c:v>0</c:v>
                </c:pt>
                <c:pt idx="4">
                  <c:v>0</c:v>
                </c:pt>
                <c:pt idx="5">
                  <c:v>295</c:v>
                </c:pt>
                <c:pt idx="6">
                  <c:v>922</c:v>
                </c:pt>
                <c:pt idx="7">
                  <c:v>1700</c:v>
                </c:pt>
                <c:pt idx="8">
                  <c:v>2328</c:v>
                </c:pt>
                <c:pt idx="9">
                  <c:v>2698</c:v>
                </c:pt>
                <c:pt idx="10">
                  <c:v>1497</c:v>
                </c:pt>
                <c:pt idx="11">
                  <c:v>1019</c:v>
                </c:pt>
                <c:pt idx="12">
                  <c:v>665</c:v>
                </c:pt>
                <c:pt idx="13">
                  <c:v>312</c:v>
                </c:pt>
                <c:pt idx="14">
                  <c:v>-41</c:v>
                </c:pt>
                <c:pt idx="15">
                  <c:v>-606</c:v>
                </c:pt>
                <c:pt idx="16">
                  <c:v>-1243</c:v>
                </c:pt>
                <c:pt idx="17">
                  <c:v>-1831</c:v>
                </c:pt>
                <c:pt idx="18">
                  <c:v>-823</c:v>
                </c:pt>
                <c:pt idx="19">
                  <c:v>-1614</c:v>
                </c:pt>
                <c:pt idx="20">
                  <c:v>-1831</c:v>
                </c:pt>
                <c:pt idx="21">
                  <c:v>-1831</c:v>
                </c:pt>
              </c:numCache>
            </c:numRef>
          </c:yVal>
          <c:smooth val="0"/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Sheet2!$B:$B</c:f>
              <c:numCache>
                <c:formatCode>General</c:formatCode>
                <c:ptCount val="1048576"/>
              </c:numCache>
            </c:numRef>
          </c:xVal>
          <c:yVal>
            <c:numRef>
              <c:f>Sheet2!$C:$C</c:f>
              <c:numCache>
                <c:formatCode>General</c:formatCode>
                <c:ptCount val="1048576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435072"/>
        <c:axId val="305435464"/>
      </c:scatterChart>
      <c:valAx>
        <c:axId val="305435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05435464"/>
        <c:crosses val="autoZero"/>
        <c:crossBetween val="midCat"/>
      </c:valAx>
      <c:valAx>
        <c:axId val="305435464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05435072"/>
        <c:crosses val="autoZero"/>
        <c:crossBetween val="midCat"/>
        <c:majorUnit val="60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448773</xdr:colOff>
      <xdr:row>1</xdr:row>
      <xdr:rowOff>65209</xdr:rowOff>
    </xdr:from>
    <xdr:to>
      <xdr:col>16</xdr:col>
      <xdr:colOff>463062</xdr:colOff>
      <xdr:row>29</xdr:row>
      <xdr:rowOff>27109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1" sqref="B1:B1048576"/>
    </sheetView>
  </sheetViews>
  <sheetFormatPr defaultRowHeight="13.5" x14ac:dyDescent="0.1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22"/>
  <sheetViews>
    <sheetView tabSelected="1" zoomScale="85" zoomScaleNormal="85" workbookViewId="0">
      <selection activeCell="B16" sqref="B16"/>
    </sheetView>
  </sheetViews>
  <sheetFormatPr defaultRowHeight="13.5" x14ac:dyDescent="0.15"/>
  <sheetData>
    <row r="4" spans="2:3" x14ac:dyDescent="0.15">
      <c r="B4">
        <v>0</v>
      </c>
      <c r="C4">
        <v>0</v>
      </c>
    </row>
    <row r="5" spans="2:3" x14ac:dyDescent="0.15">
      <c r="B5">
        <v>1295</v>
      </c>
      <c r="C5">
        <v>0</v>
      </c>
    </row>
    <row r="6" spans="2:3" x14ac:dyDescent="0.15">
      <c r="B6">
        <f>B5+1063*COS(RADIANS(10.3))</f>
        <v>2340.869795323355</v>
      </c>
      <c r="C6">
        <v>295</v>
      </c>
    </row>
    <row r="7" spans="2:3" x14ac:dyDescent="0.15">
      <c r="B7">
        <f>B6+1087</f>
        <v>3427.869795323355</v>
      </c>
      <c r="C7">
        <v>922</v>
      </c>
    </row>
    <row r="8" spans="2:3" x14ac:dyDescent="0.15">
      <c r="B8">
        <f>B7+777*COS(RADIANS(10.3))</f>
        <v>4192.3484697977165</v>
      </c>
      <c r="C8">
        <v>1700</v>
      </c>
    </row>
    <row r="9" spans="2:3" x14ac:dyDescent="0.15">
      <c r="B9">
        <f>B8+1087</f>
        <v>5279.3484697977165</v>
      </c>
      <c r="C9">
        <v>2328</v>
      </c>
    </row>
    <row r="10" spans="2:3" x14ac:dyDescent="0.15">
      <c r="B10">
        <f>B9+1062*COS(RADIANS(10.3))</f>
        <v>6324.2343800831377</v>
      </c>
      <c r="C10">
        <v>2698</v>
      </c>
    </row>
    <row r="11" spans="2:3" x14ac:dyDescent="0.15">
      <c r="B11">
        <f>B10+377</f>
        <v>6701.2343800831377</v>
      </c>
      <c r="C11">
        <v>1497</v>
      </c>
    </row>
    <row r="12" spans="2:3" x14ac:dyDescent="0.15">
      <c r="B12">
        <f>B11+477</f>
        <v>7178.2343800831377</v>
      </c>
      <c r="C12">
        <v>1019</v>
      </c>
    </row>
    <row r="13" spans="2:3" x14ac:dyDescent="0.15">
      <c r="B13">
        <f>B12-353</f>
        <v>6825.2343800831377</v>
      </c>
      <c r="C13">
        <v>665</v>
      </c>
    </row>
    <row r="14" spans="2:3" x14ac:dyDescent="0.15">
      <c r="B14">
        <f>B13+353</f>
        <v>7178.2343800831377</v>
      </c>
      <c r="C14">
        <v>312</v>
      </c>
    </row>
    <row r="15" spans="2:3" x14ac:dyDescent="0.15">
      <c r="B15">
        <f>B14-353</f>
        <v>6825.2343800831377</v>
      </c>
      <c r="C15">
        <v>-41</v>
      </c>
    </row>
    <row r="16" spans="2:3" x14ac:dyDescent="0.15">
      <c r="B16">
        <f>B15+565</f>
        <v>7390.2343800831377</v>
      </c>
      <c r="C16">
        <v>-606</v>
      </c>
    </row>
    <row r="17" spans="2:3" x14ac:dyDescent="0.15">
      <c r="B17">
        <f>B16+636</f>
        <v>8026.2343800831377</v>
      </c>
      <c r="C17">
        <v>-1243</v>
      </c>
    </row>
    <row r="18" spans="2:3" x14ac:dyDescent="0.15">
      <c r="B18">
        <f>B17+SQRT(879*879+126*126)</f>
        <v>8914.2191772502956</v>
      </c>
      <c r="C18">
        <f>-1831</f>
        <v>-1831</v>
      </c>
    </row>
    <row r="19" spans="2:3" x14ac:dyDescent="0.15">
      <c r="B19">
        <f>B18+SQRT(1521*1521+218*218)</f>
        <v>10450.76237547155</v>
      </c>
      <c r="C19">
        <v>-823</v>
      </c>
    </row>
    <row r="20" spans="2:3" x14ac:dyDescent="0.15">
      <c r="B20">
        <f>B19+SQRT(907*907+130*130)</f>
        <v>11367.031440757506</v>
      </c>
      <c r="C20">
        <v>-1614</v>
      </c>
    </row>
    <row r="21" spans="2:3" x14ac:dyDescent="0.15">
      <c r="B21">
        <f>B20+SQRT(861*861+123*123)</f>
        <v>12236.772781616959</v>
      </c>
      <c r="C21">
        <v>-1831</v>
      </c>
    </row>
    <row r="22" spans="2:3" x14ac:dyDescent="0.15">
      <c r="B22">
        <f>B21+1155</f>
        <v>13391.772781616959</v>
      </c>
      <c r="C22">
        <v>-1831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>Toshiba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ボタン</dc:creator>
  <cp:lastModifiedBy>ボタン</cp:lastModifiedBy>
  <dcterms:created xsi:type="dcterms:W3CDTF">2015-12-04T08:20:51Z</dcterms:created>
  <dcterms:modified xsi:type="dcterms:W3CDTF">2015-12-05T05:42:53Z</dcterms:modified>
</cp:coreProperties>
</file>